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ilding Calculator" sheetId="1" state="visible" r:id="rId3"/>
    <sheet name="Live Output Summary" sheetId="2" state="visible" r:id="rId4"/>
    <sheet name="References" sheetId="3" state="visible" r:id="rId5"/>
  </sheets>
  <definedNames>
    <definedName function="false" hidden="false" name="BaySpacingL" vbProcedure="false">'Building Calculator'!$B$19</definedName>
    <definedName function="false" hidden="false" name="BaySpacingW" vbProcedure="false">'Building Calculator'!$B$20</definedName>
    <definedName function="false" hidden="false" name="BottomClearance" vbProcedure="false">'Building Calculator'!$B$25</definedName>
    <definedName function="false" hidden="false" name="ClearHeight" vbProcedure="false">'Building Calculator'!$B$6</definedName>
    <definedName function="false" hidden="false" name="DockStagingArea" vbProcedure="false">'Building Calculator'!$B$32</definedName>
    <definedName function="false" hidden="false" name="ExcavationDepth" vbProcedure="false">'Building Calculator'!$B$44</definedName>
    <definedName function="false" hidden="false" name="FootingDepth" vbProcedure="false">'Building Calculator'!$B$38</definedName>
    <definedName function="false" hidden="false" name="FootingLength" vbProcedure="false">'Building Calculator'!$B$36</definedName>
    <definedName function="false" hidden="false" name="FootingWidth" vbProcedure="false">'Building Calculator'!$B$37</definedName>
    <definedName function="false" hidden="false" name="IsleWidth" vbProcedure="false">'Building Calculator'!$B$30</definedName>
    <definedName function="false" hidden="false" name="Length" vbProcedure="false">'Building Calculator'!$B$4</definedName>
    <definedName function="false" hidden="false" name="Mezzanine" vbProcedure="false">'Building Calculator'!$B$8</definedName>
    <definedName function="false" hidden="false" name="OperationalBuffer" vbProcedure="false">'Building Calculator'!$B$33</definedName>
    <definedName function="false" hidden="false" name="PalletDepth" vbProcedure="false">'Building Calculator'!$B$28</definedName>
    <definedName function="false" hidden="false" name="PalletWidth" vbProcedure="false">'Building Calculator'!$B$29</definedName>
    <definedName function="false" hidden="false" name="PedestalHeight" vbProcedure="false">'Building Calculator'!$B$41</definedName>
    <definedName function="false" hidden="false" name="PedestalLength" vbProcedure="false">'Building Calculator'!$B$39</definedName>
    <definedName function="false" hidden="false" name="PedestalWidth" vbProcedure="false">'Building Calculator'!$B$40</definedName>
    <definedName function="false" hidden="false" name="RackHeight" vbProcedure="false">'Building Calculator'!$B$24</definedName>
    <definedName function="false" hidden="false" name="RackLevelHeight" vbProcedure="false">'Building Calculator'!$B$27</definedName>
    <definedName function="false" hidden="false" name="RebarRatio" vbProcedure="false">'Building Calculator'!$B$45</definedName>
    <definedName function="false" hidden="false" name="SteelDensity" vbProcedure="false">'Building Calculator'!$B$46</definedName>
    <definedName function="false" hidden="false" name="StorageEfficiency" vbProcedure="false">'Building Calculator'!$B$31</definedName>
    <definedName function="false" hidden="false" name="Stories" vbProcedure="false">'Building Calculator'!$B$7</definedName>
    <definedName function="false" hidden="false" name="TopClearance" vbProcedure="false">'Building Calculator'!$B$26</definedName>
    <definedName function="false" hidden="false" name="Width" vbProcedure="false">'Building Calculator'!$B$5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<sst xmlns="http://schemas.openxmlformats.org/spreadsheetml/2006/main" count="194" uniqueCount="174">
  <si>
    <t xml:space="preserve">URC CCC — Building Calculator (Inputs)</t>
  </si>
  <si>
    <t xml:space="preserve">Dimension</t>
  </si>
  <si>
    <t xml:space="preserve">Length</t>
  </si>
  <si>
    <t xml:space="preserve">meters</t>
  </si>
  <si>
    <t xml:space="preserve">Width</t>
  </si>
  <si>
    <t xml:space="preserve">Clear Height</t>
  </si>
  <si>
    <t xml:space="preserve">No. of Stories</t>
  </si>
  <si>
    <t xml:space="preserve">floors</t>
  </si>
  <si>
    <t xml:space="preserve">% Mezzanine</t>
  </si>
  <si>
    <t xml:space="preserve">percent (enter 20 for 20%)</t>
  </si>
  <si>
    <t xml:space="preserve">Structure</t>
  </si>
  <si>
    <t xml:space="preserve">Structure Type / Roof Type / Wall Cladding / Slab Thickness / Dock Doors / Drive-In Doors / Skylights feed cost pricing on the separate Master Estimator (CES) page, not this tab. Bay Spacing (L/W) drives Total Nodes on the Live Output Summary tab, which scales the Footing &amp; Pedestal quantities below.</t>
  </si>
  <si>
    <t xml:space="preserve">Structure Type</t>
  </si>
  <si>
    <t xml:space="preserve">Steel Rigid Frames</t>
  </si>
  <si>
    <t xml:space="preserve">Roof Type</t>
  </si>
  <si>
    <t xml:space="preserve">Standing Seam Metal</t>
  </si>
  <si>
    <t xml:space="preserve">Wall Cladding</t>
  </si>
  <si>
    <t xml:space="preserve">Metal Panel</t>
  </si>
  <si>
    <t xml:space="preserve">Slab Thickness</t>
  </si>
  <si>
    <t xml:space="preserve">100mm Light Storage</t>
  </si>
  <si>
    <t xml:space="preserve">Dock Doors</t>
  </si>
  <si>
    <t xml:space="preserve">Drive-In Doors</t>
  </si>
  <si>
    <t xml:space="preserve">Skylights / Windows</t>
  </si>
  <si>
    <t xml:space="preserve">Standard</t>
  </si>
  <si>
    <t xml:space="preserve">Bay Spacing (L)</t>
  </si>
  <si>
    <t xml:space="preserve">Bay Spacing (W)</t>
  </si>
  <si>
    <t xml:space="preserve">Capacity — Storage &amp; Racking</t>
  </si>
  <si>
    <t xml:space="preserve">Every input below is explained, with its industry reference, on the "References" tab. Numbers here are cited benchmarks — Sir Tony/Emir should still confirm against actual URC rack specs.</t>
  </si>
  <si>
    <t xml:space="preserve">Rack Height (clear, to top beam)</t>
  </si>
  <si>
    <t xml:space="preserve">meters — see References #10, #11</t>
  </si>
  <si>
    <t xml:space="preserve">Bottom Clearance</t>
  </si>
  <si>
    <t xml:space="preserve">meters — floor/base allowance</t>
  </si>
  <si>
    <t xml:space="preserve">Top Clearance (ceiling/sprinkler buffer)</t>
  </si>
  <si>
    <t xml:space="preserve">meters — see References #11 (OSHA 18in min. w/ sprinklers)</t>
  </si>
  <si>
    <t xml:space="preserve">Rack Level Height (beam-to-beam)</t>
  </si>
  <si>
    <t xml:space="preserve">meters — pallet load height + clearance, see Ref #10</t>
  </si>
  <si>
    <t xml:space="preserve">Pallet Depth</t>
  </si>
  <si>
    <t xml:space="preserve">meters — see References #1, #2</t>
  </si>
  <si>
    <t xml:space="preserve">Pallet Width</t>
  </si>
  <si>
    <t xml:space="preserve">Isle Width</t>
  </si>
  <si>
    <t xml:space="preserve">meters — classified below against References #3-#5</t>
  </si>
  <si>
    <t xml:space="preserve">Storage Efficiency</t>
  </si>
  <si>
    <t xml:space="preserve">percent — see References #8, #9 (typical 30-70%)</t>
  </si>
  <si>
    <t xml:space="preserve">Dock / Staging Area</t>
  </si>
  <si>
    <t xml:space="preserve">Operational Buffer</t>
  </si>
  <si>
    <t xml:space="preserve">percent — see Reference #12 (recommended 80-90% of theoretical max)</t>
  </si>
  <si>
    <t xml:space="preserve">Footing &amp; Pedestal — Geometry</t>
  </si>
  <si>
    <t xml:space="preserve">Footing Length</t>
  </si>
  <si>
    <t xml:space="preserve">Footing Width</t>
  </si>
  <si>
    <t xml:space="preserve">Footing Depth</t>
  </si>
  <si>
    <t xml:space="preserve">Pedestal Length</t>
  </si>
  <si>
    <t xml:space="preserve">Pedestal Width</t>
  </si>
  <si>
    <t xml:space="preserve">Pedestal Height</t>
  </si>
  <si>
    <t xml:space="preserve">Footing &amp; Pedestal — Materials</t>
  </si>
  <si>
    <t xml:space="preserve">Excavation Depth</t>
  </si>
  <si>
    <t xml:space="preserve">Rebar Ratio</t>
  </si>
  <si>
    <t xml:space="preserve">percent (enter 2 for 2%)</t>
  </si>
  <si>
    <t xml:space="preserve">Steel Density</t>
  </si>
  <si>
    <t xml:space="preserve">kg/m³ (default 7850)</t>
  </si>
  <si>
    <t xml:space="preserve">URC CCC — Live Output Summary</t>
  </si>
  <si>
    <t xml:space="preserve">Building Metrics</t>
  </si>
  <si>
    <t xml:space="preserve">Floor Area</t>
  </si>
  <si>
    <t xml:space="preserve">sqm</t>
  </si>
  <si>
    <t xml:space="preserve">Length × Width</t>
  </si>
  <si>
    <t xml:space="preserve">Gross Area</t>
  </si>
  <si>
    <t xml:space="preserve">(Floor Area + Floor Area × Mezzanine %) × MAX(Stories, 1)</t>
  </si>
  <si>
    <t xml:space="preserve">Building Volume</t>
  </si>
  <si>
    <t xml:space="preserve">cu.m</t>
  </si>
  <si>
    <t xml:space="preserve">(Floor Area × Clear Height + Floor Area × Mezzanine % × 6) × MAX(Stories, 1)</t>
  </si>
  <si>
    <t xml:space="preserve">Perimeter Line</t>
  </si>
  <si>
    <t xml:space="preserve">m</t>
  </si>
  <si>
    <t xml:space="preserve">2 × (Length + Width)</t>
  </si>
  <si>
    <t xml:space="preserve">Foundation &amp; Nodes</t>
  </si>
  <si>
    <t xml:space="preserve">Total Bay Spacing (informational)</t>
  </si>
  <si>
    <t xml:space="preserve">(L / Bay Spacing L) + (W / Bay Spacing W) — informational only, not used below</t>
  </si>
  <si>
    <t xml:space="preserve">Total Nodes</t>
  </si>
  <si>
    <t xml:space="preserve">(bays along L + 1) × (bays along W + 1) — real column-grid intersection count</t>
  </si>
  <si>
    <t xml:space="preserve">Concrete Volume</t>
  </si>
  <si>
    <t xml:space="preserve">m³</t>
  </si>
  <si>
    <t xml:space="preserve">(Footing Volume + Pedestal Volume) × Nodes</t>
  </si>
  <si>
    <t xml:space="preserve">Rebar Weight</t>
  </si>
  <si>
    <t xml:space="preserve">kg</t>
  </si>
  <si>
    <t xml:space="preserve">Concrete Volume × Rebar Ratio % × Steel Density</t>
  </si>
  <si>
    <t xml:space="preserve">Excavation Volume</t>
  </si>
  <si>
    <t xml:space="preserve">Footing Length × Width × Excavation Depth × Nodes</t>
  </si>
  <si>
    <t xml:space="preserve">Forms Area</t>
  </si>
  <si>
    <t xml:space="preserve">m²</t>
  </si>
  <si>
    <t xml:space="preserve">Perimeter × Depth/Height (Footing + Pedestal) × Nodes</t>
  </si>
  <si>
    <t xml:space="preserve">Storage Capacity</t>
  </si>
  <si>
    <t xml:space="preserve">This is the section Sir actually wants: how much can this building physically store, not just its dimensions. Every formula below is cited on the References tab.</t>
  </si>
  <si>
    <t xml:space="preserve">Rack Levels</t>
  </si>
  <si>
    <t xml:space="preserve">ROUND DOWN (Rack Height − Bottom Clearance − Top Clearance) / Rack Level Height</t>
  </si>
  <si>
    <t xml:space="preserve">Pallet Footprint</t>
  </si>
  <si>
    <t xml:space="preserve">m² per pallet</t>
  </si>
  <si>
    <t xml:space="preserve">Pallet Depth × Pallet Width (References #1, #2)</t>
  </si>
  <si>
    <t xml:space="preserve">Aisle Width Classification</t>
  </si>
  <si>
    <t xml:space="preserve">Classifies Isle Width against References #3-#5. Sanity-check Storage Efficiency % against it.</t>
  </si>
  <si>
    <t xml:space="preserve">Suggested Storage Efficiency Range</t>
  </si>
  <si>
    <t xml:space="preserve">Reference range only — compare against your actual Storage Efficiency % input above.</t>
  </si>
  <si>
    <t xml:space="preserve">Total Pallet Slots (Theoretical Max)</t>
  </si>
  <si>
    <t xml:space="preserve">(Floor Area × Storage Efficiency % × (1 − Dock/Staging %) ÷ Pallet Footprint) × Rack Levels — standard space-utilization method, Reference #13.</t>
  </si>
  <si>
    <t xml:space="preserve">Practical Pallet Capacity (Recommended)</t>
  </si>
  <si>
    <t xml:space="preserve">Total Pallet Slots × Operational Buffer % (Reference #12)</t>
  </si>
  <si>
    <t xml:space="preserve">Notes</t>
  </si>
  <si>
    <t xml:space="preserve">• This workbook reproduces the "Building Calculator" inputs and "Live Output Summary" results from calculator.html (Dimension / Structure / Capacity / Footing &amp; Pedestal — Footing &amp; Pedestal is one tab now, not a separate module). All figures update live off the yellow input cells on the "Building Calculator" tab.</t>
  </si>
  <si>
    <t xml:space="preserve">• Storage Capacity was redesigned from researched industry references (see "References" tab) — Pallet Width is back as a real input (footprint needs both pallet dimensions), Top Clearance is new (sprinkler/ceiling buffer), and Total Pallet Slots no longer double-counts Isle Width against Storage Efficiency %.</t>
  </si>
  <si>
    <t xml:space="preserve">• The Financial Ledger (Material/Labor Cost, Raw Total, Undefined/Escalation/Contingency %, Grand Total) is NOT included — in the source app those numbers are pulled live from the separate Master Estimator (CES) page, not computed on this page.</t>
  </si>
  <si>
    <t xml:space="preserve">Storage Capacity — Researched References</t>
  </si>
  <si>
    <t xml:space="preserve">#</t>
  </si>
  <si>
    <t xml:space="preserve">Topic</t>
  </si>
  <si>
    <t xml:space="preserve">Value / Benchmark</t>
  </si>
  <si>
    <t xml:space="preserve">Source</t>
  </si>
  <si>
    <t xml:space="preserve">URL</t>
  </si>
  <si>
    <t xml:space="preserve">1</t>
  </si>
  <si>
    <t xml:space="preserve">GMA (US/North America) standard pallet</t>
  </si>
  <si>
    <t xml:space="preserve">48"×40" = 1.22 m × 1.02 m</t>
  </si>
  <si>
    <t xml:space="preserve">Warp — Standard Pallet Sizes Chart</t>
  </si>
  <si>
    <t xml:space="preserve">https://www.wearewarp.com/standard-pallet-sizes</t>
  </si>
  <si>
    <t xml:space="preserve">2</t>
  </si>
  <si>
    <t xml:space="preserve">Euro/EPAL standard pallet</t>
  </si>
  <si>
    <t xml:space="preserve">1200×800 mm = 1.20 m × 0.80 m</t>
  </si>
  <si>
    <t xml:space="preserve">Pallet Union — Pallet Sizes &amp; Dimensions Guide</t>
  </si>
  <si>
    <t xml:space="preserve">https://www.palletunion.org/resources/pallet-sizes-dimensions</t>
  </si>
  <si>
    <t xml:space="preserve">3</t>
  </si>
  <si>
    <t xml:space="preserve">Wide Aisle (standard counterbalance forklift)</t>
  </si>
  <si>
    <t xml:space="preserve">3.3 – 4.0 m</t>
  </si>
  <si>
    <t xml:space="preserve">AK Material Handling / Hedarack</t>
  </si>
  <si>
    <t xml:space="preserve">https://www.akequipment.com/warehouse-aisle-widths-and-types-2/</t>
  </si>
  <si>
    <t xml:space="preserve">4</t>
  </si>
  <si>
    <t xml:space="preserve">Narrow Aisle (reach truck)</t>
  </si>
  <si>
    <t xml:space="preserve">2.4 – 3.0 m</t>
  </si>
  <si>
    <t xml:space="preserve">CHL Forklift — Reach Truck vs Narrow Aisle</t>
  </si>
  <si>
    <t xml:space="preserve">https://www.chlforklift.com/standard-reach-truck-vs-narrow-aisle-forklift-which-one-is-right-for-your-warehouse/</t>
  </si>
  <si>
    <t xml:space="preserve">5</t>
  </si>
  <si>
    <t xml:space="preserve">Very Narrow Aisle / VNA (turret truck, guided)</t>
  </si>
  <si>
    <t xml:space="preserve">1.6 – 2.2 m</t>
  </si>
  <si>
    <t xml:space="preserve">MH-USA — Forklift Aisle Width Guide</t>
  </si>
  <si>
    <t xml:space="preserve">https://mh-usa.com/blogs/forklift-aisle-width-guide-how-to-size-aisles-for-your-warehouse/</t>
  </si>
  <si>
    <t xml:space="preserve">6</t>
  </si>
  <si>
    <t xml:space="preserve">Capacity gain, narrow vs wide aisle</t>
  </si>
  <si>
    <t xml:space="preserve">+20% to +30%</t>
  </si>
  <si>
    <t xml:space="preserve">AK Material Handling / QMH Inc</t>
  </si>
  <si>
    <t xml:space="preserve">https://www.qmhinc.com/warehouse-standard-rack-aisle-width/</t>
  </si>
  <si>
    <t xml:space="preserve">7</t>
  </si>
  <si>
    <t xml:space="preserve">Capacity gain, VNA vs wide aisle</t>
  </si>
  <si>
    <t xml:space="preserve">+40% to +50%</t>
  </si>
  <si>
    <t xml:space="preserve">QMH Inc / MH-USA</t>
  </si>
  <si>
    <t xml:space="preserve">8</t>
  </si>
  <si>
    <t xml:space="preserve">Space utilization factor, reach-truck single-deep racking</t>
  </si>
  <si>
    <t xml:space="preserve">~44% of gross floor area</t>
  </si>
  <si>
    <t xml:space="preserve">CI Suite Pro — Warehouse Space Calculation Guide</t>
  </si>
  <si>
    <t xml:space="preserve">https://cisuitepro.com/blog/warehouse-space-calculation-guide</t>
  </si>
  <si>
    <t xml:space="preserve">9</t>
  </si>
  <si>
    <t xml:space="preserve">Space utilization factor, bulk floor storage</t>
  </si>
  <si>
    <t xml:space="preserve">60% – 70% of gross floor area</t>
  </si>
  <si>
    <t xml:space="preserve">10</t>
  </si>
  <si>
    <t xml:space="preserve">Vertical clearance, top of load to next beam level</t>
  </si>
  <si>
    <t xml:space="preserve">min. 6 in (0.15 m)</t>
  </si>
  <si>
    <t xml:space="preserve">Cisco-Eagle — Pallet Rack Safety Clearances</t>
  </si>
  <si>
    <t xml:space="preserve">https://www.cisco-eagle.com/blog/2021/05/11/pallet-rack-clearances-lateral-vertical-and-building-structures/</t>
  </si>
  <si>
    <t xml:space="preserve">11</t>
  </si>
  <si>
    <t xml:space="preserve">Vertical clearance below sprinkler deflectors</t>
  </si>
  <si>
    <t xml:space="preserve">min. 18 in (0.46 m) — OSHA 29 CFR 1910.159(c)(10)</t>
  </si>
  <si>
    <t xml:space="preserve">JJ Keller Safety — OSHA Storage Rack Guidelines</t>
  </si>
  <si>
    <t xml:space="preserve">https://www.jjkellersafety.com/resources/articles/2023/storage-rack-safety-capacity-anchoring-and-stacking</t>
  </si>
  <si>
    <t xml:space="preserve">12</t>
  </si>
  <si>
    <t xml:space="preserve">Recommended operating capacity vs. theoretical max</t>
  </si>
  <si>
    <t xml:space="preserve">80% – 90% of theoretical max</t>
  </si>
  <si>
    <t xml:space="preserve">AMS Pallet Storage Capacity Calculator / CI Suite Pro</t>
  </si>
  <si>
    <t xml:space="preserve">https://www.amsc-usa.com/pallet-storage-capacity-calculator/</t>
  </si>
  <si>
    <t xml:space="preserve">13</t>
  </si>
  <si>
    <t xml:space="preserve">Base pallet-capacity formula</t>
  </si>
  <si>
    <t xml:space="preserve">Pallets = (Floor Area × Space Utilization %) ÷ Pallet Footprint × Levels</t>
  </si>
  <si>
    <t xml:space="preserve">These are secondary industry sources (equipment vendors, logistics blogs, OSHA-citing safety guides) gathered to ground the Storage Capacity formulas in real numbers instead of guesses. They are a starting point for sanity-checking the model, not a substitute for URC's actual rack vendor specs or Engr. Emir's sign-off.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</si>
</sst>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0"/>
    <numFmt numFmtId="167" formatCode="0"/>
    <numFmt numFmtId="168" formatCode="@"/>
    <numFmt numFmtId="169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u val="single"/>
      <sz val="10"/>
      <color rgb="FF2563EB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2563EB"/>
        <bgColor rgb="FF0066CC"/>
      </patternFill>
    </fill>
    <fill>
      <patternFill patternType="solid">
        <fgColor rgb="FFFFF9C4"/>
        <bgColor rgb="FFFFFF99"/>
      </patternFill>
    </fill>
    <fill>
      <patternFill patternType="solid">
        <fgColor rgb="FFEEF0F3"/>
        <bgColor rgb="FFE0F2FE"/>
      </patternFill>
    </fill>
    <fill>
      <patternFill patternType="solid">
        <fgColor rgb="FF7C3AED"/>
        <bgColor rgb="FF993366"/>
      </patternFill>
    </fill>
    <fill>
      <patternFill patternType="solid">
        <fgColor rgb="FFE0F2FE"/>
        <bgColor rgb="FFEEF0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8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C3AED"/>
      <rgbColor rgb="FFFFF9C4"/>
      <rgbColor rgb="FFE0F2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0F3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wearewarp.com/standard-pallet-sizes" TargetMode="External"/><Relationship Id="rId2" Type="http://schemas.openxmlformats.org/officeDocument/2006/relationships/hyperlink" Target="https://www.palletunion.org/resources/pallet-sizes-dimensions" TargetMode="External"/><Relationship Id="rId3" Type="http://schemas.openxmlformats.org/officeDocument/2006/relationships/hyperlink" Target="https://www.akequipment.com/warehouse-aisle-widths-and-types-2/" TargetMode="External"/><Relationship Id="rId4" Type="http://schemas.openxmlformats.org/officeDocument/2006/relationships/hyperlink" Target="https://www.chlforklift.com/standard-reach-truck-vs-narrow-aisle-forklift-which-one-is-right-for-your-warehouse/" TargetMode="External"/><Relationship Id="rId5" Type="http://schemas.openxmlformats.org/officeDocument/2006/relationships/hyperlink" Target="https://mh-usa.com/blogs/forklift-aisle-width-guide-how-to-size-aisles-for-your-warehouse/" TargetMode="External"/><Relationship Id="rId6" Type="http://schemas.openxmlformats.org/officeDocument/2006/relationships/hyperlink" Target="https://www.qmhinc.com/warehouse-standard-rack-aisle-width/" TargetMode="External"/><Relationship Id="rId7" Type="http://schemas.openxmlformats.org/officeDocument/2006/relationships/hyperlink" Target="https://mh-usa.com/blogs/forklift-aisle-width-guide-how-to-size-aisles-for-your-warehouse/" TargetMode="External"/><Relationship Id="rId8" Type="http://schemas.openxmlformats.org/officeDocument/2006/relationships/hyperlink" Target="https://cisuitepro.com/blog/warehouse-space-calculation-guide" TargetMode="External"/><Relationship Id="rId9" Type="http://schemas.openxmlformats.org/officeDocument/2006/relationships/hyperlink" Target="https://cisuitepro.com/blog/warehouse-space-calculation-guide" TargetMode="External"/><Relationship Id="rId10" Type="http://schemas.openxmlformats.org/officeDocument/2006/relationships/hyperlink" Target="https://www.cisco-eagle.com/blog/2021/05/11/pallet-rack-clearances-lateral-vertical-and-building-structures/" TargetMode="External"/><Relationship Id="rId11" Type="http://schemas.openxmlformats.org/officeDocument/2006/relationships/hyperlink" Target="https://www.jjkellersafety.com/resources/articles/2023/storage-rack-safety-capacity-anchoring-and-stacking" TargetMode="External"/><Relationship Id="rId12" Type="http://schemas.openxmlformats.org/officeDocument/2006/relationships/hyperlink" Target="https://www.amsc-usa.com/pallet-storage-capacity-calculator/" TargetMode="External"/><Relationship Id="rId13" Type="http://schemas.openxmlformats.org/officeDocument/2006/relationships/hyperlink" Target="https://cisuitepro.com/blog/warehouse-space-calculation-guid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4" min="4" style="0" width="62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3" customFormat="false" ht="19.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false" outlineLevel="0" collapsed="false">
      <c r="A4" s="3" t="s">
        <v>2</v>
      </c>
      <c r="B4" s="4" t="n">
        <v>0</v>
      </c>
      <c r="C4" s="5" t="s">
        <v>3</v>
      </c>
    </row>
    <row r="5" customFormat="false" ht="15" hidden="false" customHeight="false" outlineLevel="0" collapsed="false">
      <c r="A5" s="3" t="s">
        <v>4</v>
      </c>
      <c r="B5" s="4" t="n">
        <v>0</v>
      </c>
      <c r="C5" s="5" t="s">
        <v>3</v>
      </c>
    </row>
    <row r="6" customFormat="false" ht="15" hidden="false" customHeight="false" outlineLevel="0" collapsed="false">
      <c r="A6" s="3" t="s">
        <v>5</v>
      </c>
      <c r="B6" s="4" t="n">
        <v>0</v>
      </c>
      <c r="C6" s="5" t="s">
        <v>3</v>
      </c>
    </row>
    <row r="7" customFormat="false" ht="15" hidden="false" customHeight="false" outlineLevel="0" collapsed="false">
      <c r="A7" s="3" t="s">
        <v>6</v>
      </c>
      <c r="B7" s="4" t="n">
        <v>0</v>
      </c>
      <c r="C7" s="5" t="s">
        <v>7</v>
      </c>
    </row>
    <row r="8" customFormat="false" ht="15" hidden="false" customHeight="false" outlineLevel="0" collapsed="false">
      <c r="A8" s="3" t="s">
        <v>8</v>
      </c>
      <c r="B8" s="4" t="n">
        <v>0</v>
      </c>
      <c r="C8" s="5" t="s">
        <v>9</v>
      </c>
    </row>
    <row r="10" customFormat="false" ht="19.5" hidden="false" customHeight="true" outlineLevel="0" collapsed="false">
      <c r="A10" s="2" t="s">
        <v>10</v>
      </c>
      <c r="B10" s="2"/>
      <c r="C10" s="2"/>
      <c r="D10" s="2"/>
    </row>
    <row r="11" customFormat="false" ht="30" hidden="false" customHeight="true" outlineLevel="0" collapsed="false">
      <c r="A11" s="6" t="s">
        <v>11</v>
      </c>
      <c r="B11" s="6"/>
      <c r="C11" s="6"/>
      <c r="D11" s="6"/>
    </row>
    <row r="12" customFormat="false" ht="15" hidden="false" customHeight="false" outlineLevel="0" collapsed="false">
      <c r="A12" s="3" t="s">
        <v>12</v>
      </c>
      <c r="B12" s="4" t="s">
        <v>13</v>
      </c>
    </row>
    <row r="13" customFormat="false" ht="15" hidden="false" customHeight="false" outlineLevel="0" collapsed="false">
      <c r="A13" s="3" t="s">
        <v>14</v>
      </c>
      <c r="B13" s="4" t="s">
        <v>15</v>
      </c>
    </row>
    <row r="14" customFormat="false" ht="15" hidden="false" customHeight="false" outlineLevel="0" collapsed="false">
      <c r="A14" s="3" t="s">
        <v>16</v>
      </c>
      <c r="B14" s="4" t="s">
        <v>17</v>
      </c>
    </row>
    <row r="15" customFormat="false" ht="15" hidden="false" customHeight="false" outlineLevel="0" collapsed="false">
      <c r="A15" s="3" t="s">
        <v>18</v>
      </c>
      <c r="B15" s="4" t="s">
        <v>19</v>
      </c>
    </row>
    <row r="16" customFormat="false" ht="15" hidden="false" customHeight="false" outlineLevel="0" collapsed="false">
      <c r="A16" s="3" t="s">
        <v>20</v>
      </c>
      <c r="B16" s="4" t="n">
        <v>0</v>
      </c>
    </row>
    <row r="17" customFormat="false" ht="15" hidden="false" customHeight="false" outlineLevel="0" collapsed="false">
      <c r="A17" s="3" t="s">
        <v>21</v>
      </c>
      <c r="B17" s="4" t="n">
        <v>0</v>
      </c>
    </row>
    <row r="18" customFormat="false" ht="15" hidden="false" customHeight="false" outlineLevel="0" collapsed="false">
      <c r="A18" s="3" t="s">
        <v>22</v>
      </c>
      <c r="B18" s="4" t="s">
        <v>23</v>
      </c>
    </row>
    <row r="19" customFormat="false" ht="15" hidden="false" customHeight="false" outlineLevel="0" collapsed="false">
      <c r="A19" s="3" t="s">
        <v>24</v>
      </c>
      <c r="B19" s="4" t="n">
        <v>0</v>
      </c>
      <c r="C19" s="5" t="s">
        <v>3</v>
      </c>
    </row>
    <row r="20" customFormat="false" ht="15" hidden="false" customHeight="false" outlineLevel="0" collapsed="false">
      <c r="A20" s="3" t="s">
        <v>25</v>
      </c>
      <c r="B20" s="4" t="n">
        <v>0</v>
      </c>
      <c r="C20" s="5" t="s">
        <v>3</v>
      </c>
    </row>
    <row r="22" customFormat="false" ht="19.5" hidden="false" customHeight="true" outlineLevel="0" collapsed="false">
      <c r="A22" s="2" t="s">
        <v>26</v>
      </c>
      <c r="B22" s="2"/>
      <c r="C22" s="2"/>
      <c r="D22" s="2"/>
    </row>
    <row r="23" customFormat="false" ht="27.75" hidden="false" customHeight="true" outlineLevel="0" collapsed="false">
      <c r="A23" s="6" t="s">
        <v>27</v>
      </c>
      <c r="B23" s="6"/>
      <c r="C23" s="6"/>
      <c r="D23" s="6"/>
    </row>
    <row r="24" customFormat="false" ht="15" hidden="false" customHeight="false" outlineLevel="0" collapsed="false">
      <c r="A24" s="3" t="s">
        <v>28</v>
      </c>
      <c r="B24" s="4" t="n">
        <v>0</v>
      </c>
      <c r="C24" s="5" t="s">
        <v>29</v>
      </c>
    </row>
    <row r="25" customFormat="false" ht="15" hidden="false" customHeight="false" outlineLevel="0" collapsed="false">
      <c r="A25" s="3" t="s">
        <v>30</v>
      </c>
      <c r="B25" s="4" t="n">
        <v>0</v>
      </c>
      <c r="C25" s="5" t="s">
        <v>31</v>
      </c>
    </row>
    <row r="26" customFormat="false" ht="15" hidden="false" customHeight="false" outlineLevel="0" collapsed="false">
      <c r="A26" s="3" t="s">
        <v>32</v>
      </c>
      <c r="B26" s="4" t="n">
        <v>0</v>
      </c>
      <c r="C26" s="5" t="s">
        <v>33</v>
      </c>
    </row>
    <row r="27" customFormat="false" ht="15" hidden="false" customHeight="false" outlineLevel="0" collapsed="false">
      <c r="A27" s="3" t="s">
        <v>34</v>
      </c>
      <c r="B27" s="4" t="n">
        <v>0</v>
      </c>
      <c r="C27" s="5" t="s">
        <v>35</v>
      </c>
    </row>
    <row r="28" customFormat="false" ht="15" hidden="false" customHeight="false" outlineLevel="0" collapsed="false">
      <c r="A28" s="3" t="s">
        <v>36</v>
      </c>
      <c r="B28" s="4" t="n">
        <v>0</v>
      </c>
      <c r="C28" s="5" t="s">
        <v>37</v>
      </c>
    </row>
    <row r="29" customFormat="false" ht="15" hidden="false" customHeight="false" outlineLevel="0" collapsed="false">
      <c r="A29" s="3" t="s">
        <v>38</v>
      </c>
      <c r="B29" s="4" t="n">
        <v>0</v>
      </c>
      <c r="C29" s="5" t="s">
        <v>37</v>
      </c>
    </row>
    <row r="30" customFormat="false" ht="15" hidden="false" customHeight="false" outlineLevel="0" collapsed="false">
      <c r="A30" s="3" t="s">
        <v>39</v>
      </c>
      <c r="B30" s="4" t="n">
        <v>0</v>
      </c>
      <c r="C30" s="5" t="s">
        <v>40</v>
      </c>
    </row>
    <row r="31" customFormat="false" ht="15" hidden="false" customHeight="false" outlineLevel="0" collapsed="false">
      <c r="A31" s="3" t="s">
        <v>41</v>
      </c>
      <c r="B31" s="4" t="n">
        <v>0</v>
      </c>
      <c r="C31" s="5" t="s">
        <v>42</v>
      </c>
    </row>
    <row r="32" customFormat="false" ht="15" hidden="false" customHeight="false" outlineLevel="0" collapsed="false">
      <c r="A32" s="3" t="s">
        <v>43</v>
      </c>
      <c r="B32" s="4" t="n">
        <v>0</v>
      </c>
      <c r="C32" s="5" t="s">
        <v>9</v>
      </c>
    </row>
    <row r="33" customFormat="false" ht="15" hidden="false" customHeight="false" outlineLevel="0" collapsed="false">
      <c r="A33" s="3" t="s">
        <v>44</v>
      </c>
      <c r="B33" s="4" t="n">
        <v>0</v>
      </c>
      <c r="C33" s="5" t="s">
        <v>45</v>
      </c>
    </row>
    <row r="35" customFormat="false" ht="19.5" hidden="false" customHeight="true" outlineLevel="0" collapsed="false">
      <c r="A35" s="2" t="s">
        <v>46</v>
      </c>
      <c r="B35" s="2"/>
      <c r="C35" s="2"/>
      <c r="D35" s="2"/>
    </row>
    <row r="36" customFormat="false" ht="15" hidden="false" customHeight="false" outlineLevel="0" collapsed="false">
      <c r="A36" s="3" t="s">
        <v>47</v>
      </c>
      <c r="B36" s="4" t="n">
        <v>0</v>
      </c>
      <c r="C36" s="5" t="s">
        <v>3</v>
      </c>
    </row>
    <row r="37" customFormat="false" ht="15" hidden="false" customHeight="false" outlineLevel="0" collapsed="false">
      <c r="A37" s="3" t="s">
        <v>48</v>
      </c>
      <c r="B37" s="4" t="n">
        <v>0</v>
      </c>
      <c r="C37" s="5" t="s">
        <v>3</v>
      </c>
    </row>
    <row r="38" customFormat="false" ht="15" hidden="false" customHeight="false" outlineLevel="0" collapsed="false">
      <c r="A38" s="3" t="s">
        <v>49</v>
      </c>
      <c r="B38" s="4" t="n">
        <v>0</v>
      </c>
      <c r="C38" s="5" t="s">
        <v>3</v>
      </c>
    </row>
    <row r="39" customFormat="false" ht="15" hidden="false" customHeight="false" outlineLevel="0" collapsed="false">
      <c r="A39" s="3" t="s">
        <v>50</v>
      </c>
      <c r="B39" s="4" t="n">
        <v>0</v>
      </c>
      <c r="C39" s="5" t="s">
        <v>3</v>
      </c>
    </row>
    <row r="40" customFormat="false" ht="15" hidden="false" customHeight="false" outlineLevel="0" collapsed="false">
      <c r="A40" s="3" t="s">
        <v>51</v>
      </c>
      <c r="B40" s="4" t="n">
        <v>0</v>
      </c>
      <c r="C40" s="5" t="s">
        <v>3</v>
      </c>
    </row>
    <row r="41" customFormat="false" ht="15" hidden="false" customHeight="false" outlineLevel="0" collapsed="false">
      <c r="A41" s="3" t="s">
        <v>52</v>
      </c>
      <c r="B41" s="4" t="n">
        <v>0</v>
      </c>
      <c r="C41" s="5" t="s">
        <v>3</v>
      </c>
    </row>
    <row r="43" customFormat="false" ht="19.5" hidden="false" customHeight="true" outlineLevel="0" collapsed="false">
      <c r="A43" s="2" t="s">
        <v>53</v>
      </c>
      <c r="B43" s="2"/>
      <c r="C43" s="2"/>
      <c r="D43" s="2"/>
    </row>
    <row r="44" customFormat="false" ht="15" hidden="false" customHeight="false" outlineLevel="0" collapsed="false">
      <c r="A44" s="3" t="s">
        <v>54</v>
      </c>
      <c r="B44" s="4" t="n">
        <v>0</v>
      </c>
      <c r="C44" s="5" t="s">
        <v>3</v>
      </c>
    </row>
    <row r="45" customFormat="false" ht="15" hidden="false" customHeight="false" outlineLevel="0" collapsed="false">
      <c r="A45" s="3" t="s">
        <v>55</v>
      </c>
      <c r="B45" s="4" t="n">
        <v>0</v>
      </c>
      <c r="C45" s="5" t="s">
        <v>56</v>
      </c>
    </row>
    <row r="46" customFormat="false" ht="15" hidden="false" customHeight="false" outlineLevel="0" collapsed="false">
      <c r="A46" s="3" t="s">
        <v>57</v>
      </c>
      <c r="B46" s="4" t="n">
        <v>7850</v>
      </c>
      <c r="C46" s="5" t="s">
        <v>58</v>
      </c>
    </row>
  </sheetData>
  <mergeCells count="8">
    <mergeCell ref="A1:D1"/>
    <mergeCell ref="A3:D3"/>
    <mergeCell ref="A10:D10"/>
    <mergeCell ref="A11:D11"/>
    <mergeCell ref="A22:D22"/>
    <mergeCell ref="A23:D23"/>
    <mergeCell ref="A35:D35"/>
    <mergeCell ref="A43:D43"/>
  </mergeCells>
  <dataValidations count="5">
    <dataValidation allowBlank="false" errorStyle="stop" operator="between" showDropDown="false" showErrorMessage="false" showInputMessage="false" sqref="B12" type="list">
      <formula1>"Steel Rigid Frames,Steel Joist and Column,Tilt-Up Concrete,Pre-Cast Concrete"</formula1>
      <formula2>0</formula2>
    </dataValidation>
    <dataValidation allowBlank="false" errorStyle="stop" operator="between" showDropDown="false" showErrorMessage="false" showInputMessage="false" sqref="B13" type="list">
      <formula1>"Standing Seam Metal,R Panel Metal,TPO Membrane,EPDM Membrane"</formula1>
      <formula2>0</formula2>
    </dataValidation>
    <dataValidation allowBlank="false" errorStyle="stop" operator="between" showDropDown="false" showErrorMessage="false" showInputMessage="false" sqref="B14" type="list">
      <formula1>"Metal Panel,Tilt-Up Concrete,Pre-Cast Panel,Masonry Block"</formula1>
      <formula2>0</formula2>
    </dataValidation>
    <dataValidation allowBlank="false" errorStyle="stop" operator="between" showDropDown="false" showErrorMessage="false" showInputMessage="false" sqref="B15" type="list">
      <formula1>"100mm Light Storage,150mm Standard,200mm Heavy Loads,250mm Very Heavy"</formula1>
      <formula2>0</formula2>
    </dataValidation>
    <dataValidation allowBlank="false" errorStyle="stop" operator="between" showDropDown="false" showErrorMessage="false" showInputMessage="false" sqref="B18" type="list">
      <formula1>"Standard,None,Minimal,Many"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62"/>
  </cols>
  <sheetData>
    <row r="1" customFormat="false" ht="25.5" hidden="false" customHeight="true" outlineLevel="0" collapsed="false">
      <c r="A1" s="1" t="s">
        <v>59</v>
      </c>
      <c r="B1" s="1"/>
      <c r="C1" s="1"/>
      <c r="D1" s="1"/>
    </row>
    <row r="3" customFormat="false" ht="19.5" hidden="false" customHeight="true" outlineLevel="0" collapsed="false">
      <c r="A3" s="2" t="s">
        <v>60</v>
      </c>
      <c r="B3" s="2"/>
      <c r="C3" s="2"/>
      <c r="D3" s="2"/>
    </row>
    <row r="4" customFormat="false" ht="15" hidden="false" customHeight="false" outlineLevel="0" collapsed="false">
      <c r="A4" s="3" t="s">
        <v>61</v>
      </c>
      <c r="B4" s="7" t="n">
        <f aca="false">Length*Width</f>
        <v>0</v>
      </c>
      <c r="C4" s="5" t="s">
        <v>62</v>
      </c>
      <c r="D4" s="8" t="s">
        <v>63</v>
      </c>
    </row>
    <row r="5" customFormat="false" ht="15" hidden="false" customHeight="false" outlineLevel="0" collapsed="false">
      <c r="A5" s="3" t="s">
        <v>64</v>
      </c>
      <c r="B5" s="7" t="n">
        <f aca="false">(B4+B4*(Mezzanine/100))*MAX(Stories,1)</f>
        <v>0</v>
      </c>
      <c r="C5" s="5" t="s">
        <v>62</v>
      </c>
      <c r="D5" s="8" t="s">
        <v>65</v>
      </c>
    </row>
    <row r="6" customFormat="false" ht="15" hidden="false" customHeight="false" outlineLevel="0" collapsed="false">
      <c r="A6" s="3" t="s">
        <v>66</v>
      </c>
      <c r="B6" s="7" t="n">
        <f aca="false">(B4*ClearHeight+B4*(Mezzanine/100)*6)*MAX(Stories,1)</f>
        <v>0</v>
      </c>
      <c r="C6" s="5" t="s">
        <v>67</v>
      </c>
      <c r="D6" s="8" t="s">
        <v>68</v>
      </c>
    </row>
    <row r="7" customFormat="false" ht="15" hidden="false" customHeight="false" outlineLevel="0" collapsed="false">
      <c r="A7" s="3" t="s">
        <v>69</v>
      </c>
      <c r="B7" s="7" t="n">
        <f aca="false">2*(Length+Width)</f>
        <v>0</v>
      </c>
      <c r="C7" s="5" t="s">
        <v>70</v>
      </c>
      <c r="D7" s="8" t="s">
        <v>71</v>
      </c>
    </row>
    <row r="9" customFormat="false" ht="19.5" hidden="false" customHeight="true" outlineLevel="0" collapsed="false">
      <c r="A9" s="2" t="s">
        <v>72</v>
      </c>
      <c r="B9" s="2"/>
      <c r="C9" s="2"/>
      <c r="D9" s="2"/>
    </row>
    <row r="10" customFormat="false" ht="15" hidden="false" customHeight="false" outlineLevel="0" collapsed="false">
      <c r="A10" s="3" t="s">
        <v>73</v>
      </c>
      <c r="B10" s="9" t="n">
        <f aca="false">IF(AND(BaySpacingL&gt;0,BaySpacingW&gt;0),Length/BaySpacingL+Width/BaySpacingW,0)</f>
        <v>0</v>
      </c>
      <c r="D10" s="8" t="s">
        <v>74</v>
      </c>
    </row>
    <row r="11" customFormat="false" ht="15" hidden="false" customHeight="false" outlineLevel="0" collapsed="false">
      <c r="A11" s="3" t="s">
        <v>75</v>
      </c>
      <c r="B11" s="10" t="n">
        <f aca="false">IF(AND(BaySpacingL&gt;0,BaySpacingW&gt;0),(CEILING(Length/BaySpacingL,1)+1)*(CEILING(Width/BaySpacingW,1)+1),0)</f>
        <v>0</v>
      </c>
      <c r="D11" s="8" t="s">
        <v>76</v>
      </c>
    </row>
    <row r="12" customFormat="false" ht="15" hidden="false" customHeight="false" outlineLevel="0" collapsed="false">
      <c r="A12" s="3" t="s">
        <v>77</v>
      </c>
      <c r="B12" s="7" t="n">
        <f aca="false">(FootingLength*FootingWidth*FootingDepth+PedestalLength*PedestalWidth*PedestalHeight)*B11</f>
        <v>0</v>
      </c>
      <c r="C12" s="5" t="s">
        <v>78</v>
      </c>
      <c r="D12" s="8" t="s">
        <v>79</v>
      </c>
    </row>
    <row r="13" customFormat="false" ht="15" hidden="false" customHeight="false" outlineLevel="0" collapsed="false">
      <c r="A13" s="3" t="s">
        <v>80</v>
      </c>
      <c r="B13" s="7" t="n">
        <f aca="false">B12*(RebarRatio/100)*SteelDensity</f>
        <v>0</v>
      </c>
      <c r="C13" s="5" t="s">
        <v>81</v>
      </c>
      <c r="D13" s="8" t="s">
        <v>82</v>
      </c>
    </row>
    <row r="14" customFormat="false" ht="15" hidden="false" customHeight="false" outlineLevel="0" collapsed="false">
      <c r="A14" s="3" t="s">
        <v>83</v>
      </c>
      <c r="B14" s="7" t="n">
        <f aca="false">FootingLength*FootingWidth*ExcavationDepth*B11</f>
        <v>0</v>
      </c>
      <c r="C14" s="5" t="s">
        <v>78</v>
      </c>
      <c r="D14" s="8" t="s">
        <v>84</v>
      </c>
    </row>
    <row r="15" customFormat="false" ht="15" hidden="false" customHeight="false" outlineLevel="0" collapsed="false">
      <c r="A15" s="3" t="s">
        <v>85</v>
      </c>
      <c r="B15" s="7" t="n">
        <f aca="false">(2*(FootingLength+FootingWidth)*FootingDepth+2*(PedestalLength+PedestalWidth)*PedestalHeight)*B11</f>
        <v>0</v>
      </c>
      <c r="C15" s="5" t="s">
        <v>86</v>
      </c>
      <c r="D15" s="8" t="s">
        <v>87</v>
      </c>
    </row>
    <row r="17" customFormat="false" ht="19.5" hidden="false" customHeight="true" outlineLevel="0" collapsed="false">
      <c r="A17" s="11" t="s">
        <v>88</v>
      </c>
      <c r="B17" s="11"/>
      <c r="C17" s="11"/>
      <c r="D17" s="11"/>
    </row>
    <row r="18" customFormat="false" ht="27.75" hidden="false" customHeight="true" outlineLevel="0" collapsed="false">
      <c r="A18" s="6" t="s">
        <v>89</v>
      </c>
      <c r="B18" s="6"/>
      <c r="C18" s="6"/>
      <c r="D18" s="6"/>
    </row>
    <row r="19" customFormat="false" ht="15" hidden="false" customHeight="false" outlineLevel="0" collapsed="false">
      <c r="A19" s="3" t="s">
        <v>90</v>
      </c>
      <c r="B19" s="10" t="n">
        <f aca="false">IF(AND(RackLevelHeight&gt;0,RackHeight&gt;(BottomClearance+TopClearance)),FLOOR((RackHeight-BottomClearance-TopClearance)/RackLevelHeight,1),0)</f>
        <v>0</v>
      </c>
      <c r="D19" s="8" t="s">
        <v>91</v>
      </c>
    </row>
    <row r="20" customFormat="false" ht="15" hidden="false" customHeight="false" outlineLevel="0" collapsed="false">
      <c r="A20" s="3" t="s">
        <v>92</v>
      </c>
      <c r="B20" s="9" t="n">
        <f aca="false">PalletDepth*PalletWidth</f>
        <v>0</v>
      </c>
      <c r="C20" s="5" t="s">
        <v>93</v>
      </c>
      <c r="D20" s="8" t="s">
        <v>94</v>
      </c>
    </row>
    <row r="21" customFormat="false" ht="19.4" hidden="false" customHeight="false" outlineLevel="0" collapsed="false">
      <c r="A21" s="3" t="s">
        <v>95</v>
      </c>
      <c r="B21" s="12" t="str">
        <f aca="false">IF(IsleWidth&lt;=0,"Not set",IF(IsleWidth&lt;2.2,"VNA",IF(IsleWidth&lt;3.3,"Narrow Aisle","Wide Aisle")))</f>
        <v>Not set</v>
      </c>
      <c r="D21" s="8" t="s">
        <v>96</v>
      </c>
    </row>
    <row r="22" customFormat="false" ht="15" hidden="false" customHeight="false" outlineLevel="0" collapsed="false">
      <c r="A22" s="3" t="s">
        <v>97</v>
      </c>
      <c r="B22" s="12" t="str">
        <f aca="false">IF(B21="Not set","—",IF(B21="Wide Aisle","~30-38% (Ref #8)",IF(B21="Narrow Aisle","~40-48% (Ref #8)","~50-60% (Ref #6, #7)")))</f>
        <v>—</v>
      </c>
      <c r="D22" s="8" t="s">
        <v>98</v>
      </c>
    </row>
    <row r="23" customFormat="false" ht="19.4" hidden="false" customHeight="false" outlineLevel="0" collapsed="false">
      <c r="A23" s="3" t="s">
        <v>99</v>
      </c>
      <c r="B23" s="13" t="n">
        <f aca="false">IF(B20&gt;0,FLOOR(B4*(StorageEfficiency/100)*(1-DockStagingArea/100)/B20*B19,1),0)</f>
        <v>0</v>
      </c>
      <c r="D23" s="8" t="s">
        <v>100</v>
      </c>
    </row>
    <row r="24" customFormat="false" ht="15" hidden="false" customHeight="false" outlineLevel="0" collapsed="false">
      <c r="A24" s="3" t="s">
        <v>101</v>
      </c>
      <c r="B24" s="13" t="n">
        <f aca="false">FLOOR(B23*(OperationalBuffer/100),1)</f>
        <v>0</v>
      </c>
      <c r="D24" s="8" t="s">
        <v>102</v>
      </c>
    </row>
    <row r="26" customFormat="false" ht="19.5" hidden="false" customHeight="true" outlineLevel="0" collapsed="false">
      <c r="A26" s="2" t="s">
        <v>103</v>
      </c>
      <c r="B26" s="2"/>
      <c r="C26" s="2"/>
      <c r="D26" s="2"/>
    </row>
    <row r="27" customFormat="false" ht="31.5" hidden="false" customHeight="true" outlineLevel="0" collapsed="false">
      <c r="A27" s="14" t="s">
        <v>104</v>
      </c>
      <c r="B27" s="14"/>
      <c r="C27" s="14"/>
      <c r="D27" s="14"/>
    </row>
    <row r="28" customFormat="false" ht="31.5" hidden="false" customHeight="true" outlineLevel="0" collapsed="false">
      <c r="A28" s="14" t="s">
        <v>105</v>
      </c>
      <c r="B28" s="14"/>
      <c r="C28" s="14"/>
      <c r="D28" s="14"/>
    </row>
    <row r="29" customFormat="false" ht="31.5" hidden="false" customHeight="true" outlineLevel="0" collapsed="false">
      <c r="A29" s="14" t="s">
        <v>106</v>
      </c>
      <c r="B29" s="14"/>
      <c r="C29" s="14"/>
      <c r="D29" s="14"/>
    </row>
  </sheetData>
  <mergeCells count="9">
    <mergeCell ref="A1:D1"/>
    <mergeCell ref="A3:D3"/>
    <mergeCell ref="A9:D9"/>
    <mergeCell ref="A17:D17"/>
    <mergeCell ref="A18:D18"/>
    <mergeCell ref="A26:D26"/>
    <mergeCell ref="A27:D27"/>
    <mergeCell ref="A28:D28"/>
    <mergeCell ref="A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55"/>
  </cols>
  <sheetData>
    <row r="1" customFormat="false" ht="25.5" hidden="false" customHeight="true" outlineLevel="0" collapsed="false">
      <c r="A1" s="1" t="s">
        <v>107</v>
      </c>
      <c r="B1" s="1"/>
      <c r="C1" s="1"/>
      <c r="D1" s="1"/>
      <c r="E1" s="1"/>
    </row>
    <row r="3" customFormat="false" ht="19.5" hidden="false" customHeight="true" outlineLevel="0" collapsed="false">
      <c r="A3" s="15" t="s">
        <v>108</v>
      </c>
      <c r="B3" s="15" t="s">
        <v>109</v>
      </c>
      <c r="C3" s="15" t="s">
        <v>110</v>
      </c>
      <c r="D3" s="15" t="s">
        <v>111</v>
      </c>
      <c r="E3" s="15" t="s">
        <v>112</v>
      </c>
    </row>
    <row r="4" customFormat="false" ht="30" hidden="false" customHeight="true" outlineLevel="0" collapsed="false">
      <c r="A4" s="16" t="s">
        <v>113</v>
      </c>
      <c r="B4" s="17" t="s">
        <v>114</v>
      </c>
      <c r="C4" s="17" t="s">
        <v>115</v>
      </c>
      <c r="D4" s="17" t="s">
        <v>116</v>
      </c>
      <c r="E4" s="18" t="s">
        <v>117</v>
      </c>
    </row>
    <row r="5" customFormat="false" ht="30" hidden="false" customHeight="true" outlineLevel="0" collapsed="false">
      <c r="A5" s="16" t="s">
        <v>118</v>
      </c>
      <c r="B5" s="17" t="s">
        <v>119</v>
      </c>
      <c r="C5" s="17" t="s">
        <v>120</v>
      </c>
      <c r="D5" s="17" t="s">
        <v>121</v>
      </c>
      <c r="E5" s="18" t="s">
        <v>122</v>
      </c>
    </row>
    <row r="6" customFormat="false" ht="30" hidden="false" customHeight="true" outlineLevel="0" collapsed="false">
      <c r="A6" s="16" t="s">
        <v>123</v>
      </c>
      <c r="B6" s="17" t="s">
        <v>124</v>
      </c>
      <c r="C6" s="17" t="s">
        <v>125</v>
      </c>
      <c r="D6" s="17" t="s">
        <v>126</v>
      </c>
      <c r="E6" s="18" t="s">
        <v>127</v>
      </c>
    </row>
    <row r="7" customFormat="false" ht="30" hidden="false" customHeight="true" outlineLevel="0" collapsed="false">
      <c r="A7" s="16" t="s">
        <v>128</v>
      </c>
      <c r="B7" s="17" t="s">
        <v>129</v>
      </c>
      <c r="C7" s="17" t="s">
        <v>130</v>
      </c>
      <c r="D7" s="17" t="s">
        <v>131</v>
      </c>
      <c r="E7" s="18" t="s">
        <v>132</v>
      </c>
    </row>
    <row r="8" customFormat="false" ht="30" hidden="false" customHeight="true" outlineLevel="0" collapsed="false">
      <c r="A8" s="16" t="s">
        <v>133</v>
      </c>
      <c r="B8" s="17" t="s">
        <v>134</v>
      </c>
      <c r="C8" s="17" t="s">
        <v>135</v>
      </c>
      <c r="D8" s="17" t="s">
        <v>136</v>
      </c>
      <c r="E8" s="18" t="s">
        <v>137</v>
      </c>
    </row>
    <row r="9" customFormat="false" ht="30" hidden="false" customHeight="true" outlineLevel="0" collapsed="false">
      <c r="A9" s="16" t="s">
        <v>138</v>
      </c>
      <c r="B9" s="17" t="s">
        <v>139</v>
      </c>
      <c r="C9" s="17" t="s">
        <v>140</v>
      </c>
      <c r="D9" s="17" t="s">
        <v>141</v>
      </c>
      <c r="E9" s="18" t="s">
        <v>142</v>
      </c>
    </row>
    <row r="10" customFormat="false" ht="30" hidden="false" customHeight="true" outlineLevel="0" collapsed="false">
      <c r="A10" s="16" t="s">
        <v>143</v>
      </c>
      <c r="B10" s="17" t="s">
        <v>144</v>
      </c>
      <c r="C10" s="17" t="s">
        <v>145</v>
      </c>
      <c r="D10" s="17" t="s">
        <v>146</v>
      </c>
      <c r="E10" s="18" t="s">
        <v>137</v>
      </c>
    </row>
    <row r="11" customFormat="false" ht="30" hidden="false" customHeight="true" outlineLevel="0" collapsed="false">
      <c r="A11" s="16" t="s">
        <v>147</v>
      </c>
      <c r="B11" s="17" t="s">
        <v>148</v>
      </c>
      <c r="C11" s="17" t="s">
        <v>149</v>
      </c>
      <c r="D11" s="17" t="s">
        <v>150</v>
      </c>
      <c r="E11" s="18" t="s">
        <v>151</v>
      </c>
    </row>
    <row r="12" customFormat="false" ht="30" hidden="false" customHeight="true" outlineLevel="0" collapsed="false">
      <c r="A12" s="16" t="s">
        <v>152</v>
      </c>
      <c r="B12" s="17" t="s">
        <v>153</v>
      </c>
      <c r="C12" s="17" t="s">
        <v>154</v>
      </c>
      <c r="D12" s="17" t="s">
        <v>150</v>
      </c>
      <c r="E12" s="18" t="s">
        <v>151</v>
      </c>
    </row>
    <row r="13" customFormat="false" ht="30" hidden="false" customHeight="true" outlineLevel="0" collapsed="false">
      <c r="A13" s="16" t="s">
        <v>155</v>
      </c>
      <c r="B13" s="17" t="s">
        <v>156</v>
      </c>
      <c r="C13" s="17" t="s">
        <v>157</v>
      </c>
      <c r="D13" s="17" t="s">
        <v>158</v>
      </c>
      <c r="E13" s="18" t="s">
        <v>159</v>
      </c>
    </row>
    <row r="14" customFormat="false" ht="30" hidden="false" customHeight="true" outlineLevel="0" collapsed="false">
      <c r="A14" s="16" t="s">
        <v>160</v>
      </c>
      <c r="B14" s="17" t="s">
        <v>161</v>
      </c>
      <c r="C14" s="17" t="s">
        <v>162</v>
      </c>
      <c r="D14" s="17" t="s">
        <v>163</v>
      </c>
      <c r="E14" s="18" t="s">
        <v>164</v>
      </c>
    </row>
    <row r="15" customFormat="false" ht="30" hidden="false" customHeight="true" outlineLevel="0" collapsed="false">
      <c r="A15" s="16" t="s">
        <v>165</v>
      </c>
      <c r="B15" s="17" t="s">
        <v>166</v>
      </c>
      <c r="C15" s="17" t="s">
        <v>167</v>
      </c>
      <c r="D15" s="17" t="s">
        <v>168</v>
      </c>
      <c r="E15" s="18" t="s">
        <v>169</v>
      </c>
    </row>
    <row r="16" customFormat="false" ht="30" hidden="false" customHeight="true" outlineLevel="0" collapsed="false">
      <c r="A16" s="16" t="s">
        <v>170</v>
      </c>
      <c r="B16" s="17" t="s">
        <v>171</v>
      </c>
      <c r="C16" s="17" t="s">
        <v>172</v>
      </c>
      <c r="D16" s="17" t="s">
        <v>150</v>
      </c>
      <c r="E16" s="18" t="s">
        <v>151</v>
      </c>
    </row>
    <row r="19" customFormat="false" ht="39.75" hidden="false" customHeight="true" outlineLevel="0" collapsed="false">
      <c r="A19" s="6" t="s">
        <v>173</v>
      </c>
      <c r="B19" s="6"/>
      <c r="C19" s="6"/>
      <c r="D19" s="6"/>
      <c r="E19" s="6"/>
    </row>
  </sheetData>
  <mergeCells count="2">
    <mergeCell ref="A1:E1"/>
    <mergeCell ref="A19:E19"/>
  </mergeCells>
  <hyperlinks>
    <hyperlink ref="E4" r:id="rId1" display="https://www.wearewarp.com/standard-pallet-sizes"/>
    <hyperlink ref="E5" r:id="rId2" display="https://www.palletunion.org/resources/pallet-sizes-dimensions"/>
    <hyperlink ref="E6" r:id="rId3" display="https://www.akequipment.com/warehouse-aisle-widths-and-types-2/"/>
    <hyperlink ref="E7" r:id="rId4" display="https://www.chlforklift.com/standard-reach-truck-vs-narrow-aisle-forklift-which-one-is-right-for-your-warehouse/"/>
    <hyperlink ref="E8" r:id="rId5" display="https://mh-usa.com/blogs/forklift-aisle-width-guide-how-to-size-aisles-for-your-warehouse/"/>
    <hyperlink ref="E9" r:id="rId6" display="https://www.qmhinc.com/warehouse-standard-rack-aisle-width/"/>
    <hyperlink ref="E10" r:id="rId7" display="https://mh-usa.com/blogs/forklift-aisle-width-guide-how-to-size-aisles-for-your-warehouse/"/>
    <hyperlink ref="E11" r:id="rId8" display="https://cisuitepro.com/blog/warehouse-space-calculation-guide"/>
    <hyperlink ref="E12" r:id="rId9" display="https://cisuitepro.com/blog/warehouse-space-calculation-guide"/>
    <hyperlink ref="E13" r:id="rId10" display="https://www.cisco-eagle.com/blog/2021/05/11/pallet-rack-clearances-lateral-vertical-and-building-structures/"/>
    <hyperlink ref="E14" r:id="rId11" display="https://www.jjkellersafety.com/resources/articles/2023/storage-rack-safety-capacity-anchoring-and-stacking"/>
    <hyperlink ref="E15" r:id="rId12" display="https://www.amsc-usa.com/pallet-storage-capacity-calculator/"/>
    <hyperlink ref="E16" r:id="rId13" display="https://cisuitepro.com/blog/warehouse-space-calculation-guid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2026-07-28T08:48:40Z</dcterms:created>
  <dc:creator>openpyxl</dc:creator>
  <dc:description/>
  <dc:language>en-US</dc:language>
  <cp:lastModifiedBy/>
  <dcterms:modified xsi:type="dcterms:W3CDTF">2026-07-28T08:48:40Z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